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rice Comparison" sheetId="2" state="visible" r:id="rId4"/>
    <sheet name="Value Metrics" sheetId="3" state="visible" r:id="rId5"/>
    <sheet name="Feature Matrix" sheetId="4" state="visible" r:id="rId6"/>
    <sheet name="Billing Notes" sheetId="5" state="visible" r:id="rId7"/>
    <sheet name="Competitive Insigh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<sst xmlns="http://schemas.openxmlformats.org/spreadsheetml/2006/main" count="317" uniqueCount="209">
  <si>
    <t xml:space="preserve">RESELLER HOSTING COMPETITOR PRICING REPORT — KENYA MARKET</t>
  </si>
  <si>
    <t xml:space="preserve">Detailed Competitive Analysis | Data as of September 2026 | Exchange Rate Assumption: 1 USD = 129.50 KES</t>
  </si>
  <si>
    <t xml:space="preserve">REPORT PURPOSE</t>
  </si>
  <si>
    <t xml:space="preserve">This spreadsheet consolidates reseller hosting pricing from major providers active in the Kenyan market (Hostnali, Truehost, Htech-solutions, Gigacore, SiteGround). Prices are normalized to both KES and USD for easy comparison. Value metrics (KES per GB and KES per cPanel account) help identify the most cost-efficient plans. Local Kenyan providers are highlighted for relevance to East African buyers.</t>
  </si>
  <si>
    <t xml:space="preserve">KEY FINDINGS</t>
  </si>
  <si>
    <t xml:space="preserve">1. Lowest entry price: Truehost Bronze at KSh 1,500/mo (20 accounts, 30 GB) — strongest for new Kenyan resellers.</t>
  </si>
  <si>
    <t xml:space="preserve">2. Hostnali offers the best local feature set at mid-tier (Free WHMCS + M-Pesa module) starting KSh 2,500.</t>
  </si>
  <si>
    <t xml:space="preserve">3. International providers (SiteGround, Gigacore, Htech) appear cheaper on promo but renew at significantly higher rates and lack local payment/support advantages.</t>
  </si>
  <si>
    <t xml:space="preserve">4. Best value by storage: Hostnali Budget (~KSh 50/GB); best value by accounts: Truehost Bronze (~KSh 75/account).</t>
  </si>
  <si>
    <t xml:space="preserve">5. Platinum tiers diverge widely: Truehost Platinum KSh 15,000 vs Hostnali KSh 10,000 for similar account counts.</t>
  </si>
  <si>
    <t xml:space="preserve">6. Critical: Always verify renewal rates, WHMCS licensing costs, and whether bandwidth is truly unmetered.</t>
  </si>
  <si>
    <t xml:space="preserve">SHEETS IN THIS WORKBOOK</t>
  </si>
  <si>
    <t xml:space="preserve">Price Comparison</t>
  </si>
  <si>
    <t xml:space="preserve">Master table of all plans with KES + USD pricing, disk, accounts, and key features</t>
  </si>
  <si>
    <t xml:space="preserve">Value Metrics</t>
  </si>
  <si>
    <t xml:space="preserve">Calculated cost efficiency: KES per GB and KES per cPanel account (Excel formulas)</t>
  </si>
  <si>
    <t xml:space="preserve">Feature Matrix</t>
  </si>
  <si>
    <t xml:space="preserve">Side-by-side feature checklist (WHMCS, M-Pesa, private NS, white-label, etc.)</t>
  </si>
  <si>
    <t xml:space="preserve">Billing Notes</t>
  </si>
  <si>
    <t xml:space="preserve">Important caveats on promo vs renewal pricing, hidden costs, billing cycles</t>
  </si>
  <si>
    <t xml:space="preserve">Competitive Insights</t>
  </si>
  <si>
    <t xml:space="preserve">Strategic observations for pricing your own reseller or wholesale offering</t>
  </si>
  <si>
    <t xml:space="preserve">DATA SOURCES &amp; ASSUMPTIONS</t>
  </si>
  <si>
    <t xml:space="preserve">• Hostnali: hostnali.co.ke (confirmed KSh pricing). • Truehost: truehost.co.ke (current KSh list). • Htech-solutions, Gigacore, SiteGround: user-supplied / public USD list (converted). • Exchange rate fixed at 129.50 KES/USD for consistency (CBK mid-market ~129.4–129.5 as of Sep 2026). • All monthly prices shown; annual/triennial discounts may apply. Verify live before quoting.</t>
  </si>
  <si>
    <t xml:space="preserve">RESELLER HOSTING PRICE COMPARISON — KENYA &amp; INTERNATIONAL PROVIDERS</t>
  </si>
  <si>
    <t xml:space="preserve">FX Rate (KES/USD):</t>
  </si>
  <si>
    <t xml:space="preserve">← Edit this cell to update all USD↔KES conversions</t>
  </si>
  <si>
    <t xml:space="preserve">Provider</t>
  </si>
  <si>
    <t xml:space="preserve">Origin</t>
  </si>
  <si>
    <t xml:space="preserve">Plan Name</t>
  </si>
  <si>
    <t xml:space="preserve">Price (KSh/mo)</t>
  </si>
  <si>
    <t xml:space="preserve">Price (USD/mo)</t>
  </si>
  <si>
    <t xml:space="preserve">Disk Space (GB)</t>
  </si>
  <si>
    <t xml:space="preserve">cPanel Accounts</t>
  </si>
  <si>
    <t xml:space="preserve">KES / GB</t>
  </si>
  <si>
    <t xml:space="preserve">KES / Account</t>
  </si>
  <si>
    <t xml:space="preserve">Key Features</t>
  </si>
  <si>
    <t xml:space="preserve">Source</t>
  </si>
  <si>
    <t xml:space="preserve">Hostnali</t>
  </si>
  <si>
    <t xml:space="preserve">Kenya</t>
  </si>
  <si>
    <t xml:space="preserve">Budget Reseller</t>
  </si>
  <si>
    <t xml:space="preserve">Free WHMCS, M-Pesa Module, Private NS, Unlimited BW</t>
  </si>
  <si>
    <t xml:space="preserve">Monthly; check annual discount</t>
  </si>
  <si>
    <t xml:space="preserve">hostnali.co.ke</t>
  </si>
  <si>
    <t xml:space="preserve">Standard Reseller</t>
  </si>
  <si>
    <t xml:space="preserve">Popular for new businesses; Private NS, WHMCS options</t>
  </si>
  <si>
    <t xml:space="preserve">Monthly</t>
  </si>
  <si>
    <t xml:space="preserve">Executive Reseller</t>
  </si>
  <si>
    <t xml:space="preserve">Advanced; Free WHMCS, M-Pesa, Domain Reseller</t>
  </si>
  <si>
    <t xml:space="preserve">Platinum Reseller</t>
  </si>
  <si>
    <t xml:space="preserve">Professional package; full white-label features</t>
  </si>
  <si>
    <t xml:space="preserve">Truehost</t>
  </si>
  <si>
    <t xml:space="preserve">Bronze Reseller</t>
  </si>
  <si>
    <t xml:space="preserve">Private NS, Softaculous, Unlimited BW, Instant setup</t>
  </si>
  <si>
    <t xml:space="preserve">Lowest entry; local support</t>
  </si>
  <si>
    <t xml:space="preserve">truehost.co.ke</t>
  </si>
  <si>
    <t xml:space="preserve">Silver Reseller</t>
  </si>
  <si>
    <t xml:space="preserve">Free Domain Reseller Automation, Private NS</t>
  </si>
  <si>
    <t xml:space="preserve">Good mid-entry</t>
  </si>
  <si>
    <t xml:space="preserve">Gold Reseller</t>
  </si>
  <si>
    <t xml:space="preserve">Private NS, Softaculous, Unlimited BW</t>
  </si>
  <si>
    <t xml:space="preserve">Strong mid-tier value</t>
  </si>
  <si>
    <t xml:space="preserve">Highest account count among local; Private NS</t>
  </si>
  <si>
    <t xml:space="preserve">Premium local tier</t>
  </si>
  <si>
    <t xml:space="preserve">Htech-solutions</t>
  </si>
  <si>
    <t xml:space="preserve">International</t>
  </si>
  <si>
    <t xml:space="preserve">RS-1</t>
  </si>
  <si>
    <t xml:space="preserve">CloudLinux, Imunify360, Free Migrations, NVMe</t>
  </si>
  <si>
    <t xml:space="preserve">USD pricing; migration support</t>
  </si>
  <si>
    <t xml:space="preserve">User list / public</t>
  </si>
  <si>
    <t xml:space="preserve">Gigacore.io</t>
  </si>
  <si>
    <t xml:space="preserve">Reseller Vector</t>
  </si>
  <si>
    <t xml:space="preserve">WHMCS available (+$15.90), LiteSpeed, SiteJet AI, NVMe</t>
  </si>
  <si>
    <t xml:space="preserve">WHMCS extra cost</t>
  </si>
  <si>
    <t xml:space="preserve">gigacore.io</t>
  </si>
  <si>
    <t xml:space="preserve">SiteGround</t>
  </si>
  <si>
    <t xml:space="preserve">GrowBig (Promo)</t>
  </si>
  <si>
    <t xml:space="preserve">Unmetered*</t>
  </si>
  <si>
    <t xml:space="preserve">N/S</t>
  </si>
  <si>
    <t xml:space="preserve">N/A</t>
  </si>
  <si>
    <t xml:space="preserve">Unmetered disk (promo), White-label capable</t>
  </si>
  <si>
    <t xml:space="preserve">Promo; renews ~$29.99/mo; 12-mo commit</t>
  </si>
  <si>
    <t xml:space="preserve">siteground.com</t>
  </si>
  <si>
    <t xml:space="preserve">GoGeek (Promo)</t>
  </si>
  <si>
    <t xml:space="preserve">Unmetered disk (promo), White-label</t>
  </si>
  <si>
    <t xml:space="preserve">Promo; renews ~$44.99/mo; 12-mo commit</t>
  </si>
  <si>
    <t xml:space="preserve">LEGEND</t>
  </si>
  <si>
    <t xml:space="preserve">Light blue rows = Kenyan providers (Hostnali, Truehost). Yellow cell E2 = editable FX assumption. Blue text = hardcoded inputs. Black text = Excel formulas.</t>
  </si>
  <si>
    <t xml:space="preserve">* SiteGround 'Unmetered' is subject to fair-use; promo prices require long-term commitment and renew at higher rates. Always verify live pricing.</t>
  </si>
  <si>
    <t xml:space="preserve">VALUE &amp; EFFICIENCY METRICS</t>
  </si>
  <si>
    <t xml:space="preserve">Lower KES/GB and KES/Account generally indicate better resource efficiency (all else equal). Values pulled via formulas from Price Comparison sheet.</t>
  </si>
  <si>
    <t xml:space="preserve">Ranked by approximate KES per cPanel Account (best value first among plans with defined accounts)</t>
  </si>
  <si>
    <t xml:space="preserve">Rank</t>
  </si>
  <si>
    <t xml:space="preserve">Plan</t>
  </si>
  <si>
    <t xml:space="preserve">Price (KSh)</t>
  </si>
  <si>
    <t xml:space="preserve">Accounts</t>
  </si>
  <si>
    <t xml:space="preserve">Disk (GB)</t>
  </si>
  <si>
    <t xml:space="preserve">INTERPRETATION</t>
  </si>
  <si>
    <t xml:space="preserve">• Truehost Bronze delivers the lowest cost per account — ideal for testing the reseller model with minimal capital. • Hostnali Budget offers strong storage efficiency and includes M-Pesa + WHMCS advantages valuable for Kenyan clients. • International entry plans can look cheap in USD but often lack local payment methods, Swahili support, and may have higher effective renewal costs. • Platinum tiers are about scale; compare account limits and whether overselling is permitted.</t>
  </si>
  <si>
    <t xml:space="preserve">FEATURE COMPARISON MATRIX</t>
  </si>
  <si>
    <t xml:space="preserve">✓ = Confirmed / Included   ~ = Available at extra cost or partial   — = Not highlighted / Unknown</t>
  </si>
  <si>
    <t xml:space="preserve">Feature</t>
  </si>
  <si>
    <t xml:space="preserve">Notes for Kenyan Market</t>
  </si>
  <si>
    <t xml:space="preserve">cPanel / WHM Access</t>
  </si>
  <si>
    <t xml:space="preserve">✓</t>
  </si>
  <si>
    <t xml:space="preserve">✓ (Site Tools)</t>
  </si>
  <si>
    <t xml:space="preserve">Standard expectation</t>
  </si>
  <si>
    <t xml:space="preserve">Private Nameservers</t>
  </si>
  <si>
    <t xml:space="preserve">Essential for white-label branding</t>
  </si>
  <si>
    <t xml:space="preserve">Free / Included WHMCS</t>
  </si>
  <si>
    <t xml:space="preserve">✓ (higher plans)</t>
  </si>
  <si>
    <t xml:space="preserve">~ / Discounted</t>
  </si>
  <si>
    <t xml:space="preserve">—</t>
  </si>
  <si>
    <t xml:space="preserve">~ (+$15.90/mo)</t>
  </si>
  <si>
    <t xml:space="preserve">Critical for automated billing in Kenya</t>
  </si>
  <si>
    <t xml:space="preserve">M-Pesa Payment Module</t>
  </si>
  <si>
    <t xml:space="preserve">✓ (local)</t>
  </si>
  <si>
    <t xml:space="preserve">Highly valued by Kenyan end-clients</t>
  </si>
  <si>
    <t xml:space="preserve">Local (Kenya) Support</t>
  </si>
  <si>
    <t xml:space="preserve">✓ (24/7)</t>
  </si>
  <si>
    <t xml:space="preserve">Major trust &amp; conversion factor</t>
  </si>
  <si>
    <t xml:space="preserve">Nairobi / Regional Servers</t>
  </si>
  <si>
    <t xml:space="preserve">~</t>
  </si>
  <si>
    <t xml:space="preserve">✓ (claimed)</t>
  </si>
  <si>
    <t xml:space="preserve">Lower latency for EA users</t>
  </si>
  <si>
    <t xml:space="preserve">Unlimited Bandwidth</t>
  </si>
  <si>
    <t xml:space="preserve">Fair use</t>
  </si>
  <si>
    <t xml:space="preserve">Confirm fair-use policies</t>
  </si>
  <si>
    <t xml:space="preserve">NVMe / SSD Storage</t>
  </si>
  <si>
    <t xml:space="preserve">✓ NVMe</t>
  </si>
  <si>
    <t xml:space="preserve">Performance differentiator</t>
  </si>
  <si>
    <t xml:space="preserve">Free SSL</t>
  </si>
  <si>
    <t xml:space="preserve">Baseline</t>
  </si>
  <si>
    <t xml:space="preserve">Softaculous / 1-click</t>
  </si>
  <si>
    <t xml:space="preserve">Ease of use for resellers</t>
  </si>
  <si>
    <t xml:space="preserve">White-label / Branding</t>
  </si>
  <si>
    <t xml:space="preserve">✓ (higher)</t>
  </si>
  <si>
    <t xml:space="preserve">Core reseller need</t>
  </si>
  <si>
    <t xml:space="preserve">Free Migrations</t>
  </si>
  <si>
    <t xml:space="preserve">Reduces switching friction</t>
  </si>
  <si>
    <t xml:space="preserve">CloudLinux / CageFS</t>
  </si>
  <si>
    <t xml:space="preserve">Security isolation</t>
  </si>
  <si>
    <t xml:space="preserve">Imunify360 / Security</t>
  </si>
  <si>
    <t xml:space="preserve">Important for shared environments</t>
  </si>
  <si>
    <t xml:space="preserve">Overselling Allowed</t>
  </si>
  <si>
    <t xml:space="preserve">Enables higher margins if managed carefully</t>
  </si>
  <si>
    <t xml:space="preserve">AI / Site Builder extras</t>
  </si>
  <si>
    <t xml:space="preserve">✓ SiteJet AI</t>
  </si>
  <si>
    <t xml:space="preserve">Nice-to-have for non-tech clients</t>
  </si>
  <si>
    <t xml:space="preserve">KEY TAKEAWAY FOR LOCAL COMPETITIVENESS</t>
  </si>
  <si>
    <t xml:space="preserve">Hostnali and Truehost win on local relevance: M-Pesa modules, Kenyan support, and (for Truehost) claimed local infrastructure. International players compete on raw price/promo and advanced security stacks, but face higher barriers for Kenyan SMEs who prefer local payment and support. Any new entrant or pricing strategy should prioritise M-Pesa + local support + transparent KES pricing.</t>
  </si>
  <si>
    <t xml:space="preserve">BILLING CYCLES, RENEWALS &amp; HIDDEN COSTS</t>
  </si>
  <si>
    <t xml:space="preserve">Critical considerations when comparing or matching these prices</t>
  </si>
  <si>
    <t xml:space="preserve">Topic</t>
  </si>
  <si>
    <t xml:space="preserve">Detail</t>
  </si>
  <si>
    <t xml:space="preserve">Billing Cycle Sensitivity</t>
  </si>
  <si>
    <t xml:space="preserve">Many published prices (especially international) assume annual or multi-year prepay. Monthly cash-flow cost can be 20–40% higher. Always ask for pure monthly rate.</t>
  </si>
  <si>
    <t xml:space="preserve">Renewal Price Shock</t>
  </si>
  <si>
    <t xml:space="preserve">SiteGround GrowBig promo $4.99 → renews ~$29.99. GoGeek $7.99 → ~$44.99. Factor the lifetime cost, not year-1 only.</t>
  </si>
  <si>
    <t xml:space="preserve">WHMCS Licensing</t>
  </si>
  <si>
    <t xml:space="preserve">Gigacore lists WHMCS at +$15.90/mo. Hostnali includes or discounts it on higher plans. This is a major cost for serious resellers who need automated invoicing + M-Pesa.</t>
  </si>
  <si>
    <t xml:space="preserve">Truehost Advantage</t>
  </si>
  <si>
    <t xml:space="preserve">Truehost markets clear KSh monthly prices and local support — reduces surprise for local buyers.</t>
  </si>
  <si>
    <t xml:space="preserve">Hostnali Local Stack</t>
  </si>
  <si>
    <t xml:space="preserve">Free M-Pesa module + WHMCS on higher tiers is a strong differentiator vs pure international panels.</t>
  </si>
  <si>
    <t xml:space="preserve">Bandwidth Fair Use</t>
  </si>
  <si>
    <t xml:space="preserve">'Unlimited' almost always has a fair-use clause. High-traffic client sites can trigger throttling or forced upgrades.</t>
  </si>
  <si>
    <t xml:space="preserve">Currency Risk</t>
  </si>
  <si>
    <t xml:space="preserve">USD-priced plans expose Kenyan resellers to FX volatility. KES-priced local plans provide predictability.</t>
  </si>
  <si>
    <t xml:space="preserve">VAT / Taxes</t>
  </si>
  <si>
    <t xml:space="preserve">Confirm whether displayed prices include 16% VAT. Kenyan B2B buyers often need tax-compliant invoices.</t>
  </si>
  <si>
    <t xml:space="preserve">Migration &amp; Setup Fees</t>
  </si>
  <si>
    <t xml:space="preserve">Most list free migrations; confirm scope (number of accounts, downtime expectations).</t>
  </si>
  <si>
    <t xml:space="preserve">Account Limits vs Overselling</t>
  </si>
  <si>
    <t xml:space="preserve">Some plans allow overselling disk/accounts. This increases margin potential but also support risk if oversold aggressively.</t>
  </si>
  <si>
    <t xml:space="preserve">STRATEGIC COMPETITIVE INSIGHTS FOR THE KENYAN MARKET</t>
  </si>
  <si>
    <t xml:space="preserve">1. Market Structure</t>
  </si>
  <si>
    <t xml:space="preserve">The Kenyan reseller market is price-sensitive at the entry level (KSh 1,500–3,000) and value-sensitive at mid-tier. Local providers win on payment convenience (M-Pesa), language/support, and currency stability. International players compete on promo pricing, brand recognition, and security feature depth. There is room for a well-positioned local or hybrid offering that combines transparent KES pricing, included billing automation, and reliable performance.</t>
  </si>
  <si>
    <t xml:space="preserve">2. Pricing Gaps &amp; Opportunities</t>
  </si>
  <si>
    <t xml:space="preserve">• Sub-KSh 2,000 entry with 30–40 accounts is currently owned by Truehost Bronze — hard to undercut profitably without scale.</t>
  </si>
  <si>
    <t xml:space="preserve">• Mid-tier (KSh 5,000–8,000) is crowded; differentiation must come from features (included WHMCS + M-Pesa), support quality, or uptime SLAs.</t>
  </si>
  <si>
    <t xml:space="preserve">• High-account Platinum (150–200 accounts) shows wide price dispersion (KSh 10k vs 15k) — opportunity to offer clearer tiered scaling.</t>
  </si>
  <si>
    <t xml:space="preserve">• Annual prepay discounts are expected; publishing both monthly and effective annual rates builds trust.</t>
  </si>
  <si>
    <t xml:space="preserve">3. Recommended Positioning Levers</t>
  </si>
  <si>
    <t xml:space="preserve">• Lead with 'All prices in KSh, M-Pesa ready, no FX surprise' messaging.</t>
  </si>
  <si>
    <t xml:space="preserve">• Bundle a free or heavily discounted WHMCS + M-Pesa module at the Standard tier and above.</t>
  </si>
  <si>
    <t xml:space="preserve">• Publish clear renewal prices next to promo prices to build long-term trust.</t>
  </si>
  <si>
    <t xml:space="preserve">• Offer a 14–30 day money-back or low-commitment starter that converts to annual.</t>
  </si>
  <si>
    <t xml:space="preserve">• Highlight any local or regional server presence and Swahili-capable support as table stakes.</t>
  </si>
  <si>
    <t xml:space="preserve">• Consider a 'Agency' or 'White-label Pro' tier with higher account limits and priority support for digital agencies.</t>
  </si>
  <si>
    <t xml:space="preserve">4. Quick Reference — Lowest Cost Plans by Metric</t>
  </si>
  <si>
    <t xml:space="preserve">Metric</t>
  </si>
  <si>
    <t xml:space="preserve">Best Plan</t>
  </si>
  <si>
    <t xml:space="preserve">Value</t>
  </si>
  <si>
    <t xml:space="preserve">Lowest absolute price</t>
  </si>
  <si>
    <t xml:space="preserve">Truehost Bronze</t>
  </si>
  <si>
    <t xml:space="preserve">KSh 1,500 / mo</t>
  </si>
  <si>
    <t xml:space="preserve">Best KES per Account (approx)</t>
  </si>
  <si>
    <t xml:space="preserve">~KSh 75 / account</t>
  </si>
  <si>
    <t xml:space="preserve">Best KES per GB (approx)</t>
  </si>
  <si>
    <t xml:space="preserve">Hostnali Budget</t>
  </si>
  <si>
    <t xml:space="preserve">~KSh 50 / GB</t>
  </si>
  <si>
    <t xml:space="preserve">Most accounts (local)</t>
  </si>
  <si>
    <t xml:space="preserve">Truehost Platinum</t>
  </si>
  <si>
    <t xml:space="preserve">200 accounts</t>
  </si>
  <si>
    <t xml:space="preserve">Best local feature bundle</t>
  </si>
  <si>
    <t xml:space="preserve">Hostnali Executive+</t>
  </si>
  <si>
    <t xml:space="preserve">WHMCS + M-Pesa included</t>
  </si>
  <si>
    <t xml:space="preserve">Disclaimer: Prices and features change frequently. This report is a point-in-time competitive snapshot for internal strategy use. Always verify live pricing and terms on provider websites before making commercial decisions or public claims.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</si>
</sst>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5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1E3A5F"/>
        <bgColor rgb="FF333333"/>
      </patternFill>
    </fill>
    <fill>
      <patternFill patternType="solid">
        <fgColor rgb="FFE0F2FE"/>
        <bgColor rgb="FFF0F4F8"/>
      </patternFill>
    </fill>
    <fill>
      <patternFill patternType="solid">
        <fgColor rgb="FFF0F4F8"/>
        <bgColor rgb="FFE0F2FE"/>
      </patternFill>
    </fill>
    <fill>
      <patternFill patternType="solid">
        <fgColor rgb="FFD1FAE5"/>
        <bgColor rgb="FFE0F2FE"/>
      </patternFill>
    </fill>
    <fill>
      <patternFill patternType="solid">
        <fgColor rgb="FFFFFFFF"/>
        <bgColor rgb="FFF0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606A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7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5" t="s">
        <v>5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5" t="s">
        <v>6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 t="s">
        <v>7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 t="s">
        <v>8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 t="s">
        <v>9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 t="s">
        <v>10</v>
      </c>
      <c r="B14" s="5"/>
      <c r="C14" s="5"/>
      <c r="D14" s="5"/>
      <c r="E14" s="5"/>
      <c r="F14" s="5"/>
      <c r="G14" s="5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6" t="s">
        <v>12</v>
      </c>
      <c r="B17" s="5" t="s">
        <v>13</v>
      </c>
      <c r="C17" s="5"/>
      <c r="D17" s="5"/>
      <c r="E17" s="5"/>
      <c r="F17" s="5"/>
      <c r="G17" s="5"/>
    </row>
    <row r="18" customFormat="false" ht="15" hidden="false" customHeight="false" outlineLevel="0" collapsed="false">
      <c r="A18" s="6" t="s">
        <v>14</v>
      </c>
      <c r="B18" s="5" t="s">
        <v>15</v>
      </c>
      <c r="C18" s="5"/>
      <c r="D18" s="5"/>
      <c r="E18" s="5"/>
      <c r="F18" s="5"/>
      <c r="G18" s="5"/>
    </row>
    <row r="19" customFormat="false" ht="15" hidden="false" customHeight="false" outlineLevel="0" collapsed="false">
      <c r="A19" s="6" t="s">
        <v>16</v>
      </c>
      <c r="B19" s="5" t="s">
        <v>17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A20" s="6" t="s">
        <v>18</v>
      </c>
      <c r="B20" s="5" t="s">
        <v>19</v>
      </c>
      <c r="C20" s="5"/>
      <c r="D20" s="5"/>
      <c r="E20" s="5"/>
      <c r="F20" s="5"/>
      <c r="G20" s="5"/>
    </row>
    <row r="21" customFormat="false" ht="15" hidden="false" customHeight="false" outlineLevel="0" collapsed="false">
      <c r="A21" s="6" t="s">
        <v>20</v>
      </c>
      <c r="B21" s="5" t="s">
        <v>21</v>
      </c>
      <c r="C21" s="5"/>
      <c r="D21" s="5"/>
      <c r="E21" s="5"/>
      <c r="F21" s="5"/>
      <c r="G21" s="5"/>
    </row>
    <row r="23" customFormat="false" ht="15" hidden="false" customHeight="false" outlineLevel="0" collapsed="false">
      <c r="A23" s="3" t="s">
        <v>22</v>
      </c>
    </row>
    <row r="24" customFormat="false" ht="15" hidden="false" customHeight="true" outlineLevel="0" collapsed="false">
      <c r="A24" s="7" t="s">
        <v>23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</row>
  </sheetData>
  <mergeCells count="15">
    <mergeCell ref="A1:G1"/>
    <mergeCell ref="A2:G2"/>
    <mergeCell ref="A5:G6"/>
    <mergeCell ref="A9:G9"/>
    <mergeCell ref="A10:G10"/>
    <mergeCell ref="A11:G11"/>
    <mergeCell ref="A12:G12"/>
    <mergeCell ref="A13:G13"/>
    <mergeCell ref="A14:G14"/>
    <mergeCell ref="B17:G17"/>
    <mergeCell ref="B18:G18"/>
    <mergeCell ref="B19:G19"/>
    <mergeCell ref="B20:G20"/>
    <mergeCell ref="B21:G21"/>
    <mergeCell ref="A24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48"/>
    <col collapsed="false" customWidth="true" hidden="false" outlineLevel="0" max="11" min="11" style="0" width="34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5" hidden="false" customHeight="false" outlineLevel="0" collapsed="false">
      <c r="D2" s="6" t="s">
        <v>25</v>
      </c>
      <c r="E2" s="9" t="n">
        <v>129.5</v>
      </c>
      <c r="F2" s="10" t="s">
        <v>26</v>
      </c>
    </row>
    <row r="3" customFormat="false" ht="30" hidden="false" customHeight="true" outlineLevel="0" collapsed="false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18</v>
      </c>
      <c r="L3" s="11" t="s">
        <v>37</v>
      </c>
    </row>
    <row r="4" customFormat="false" ht="37.5" hidden="false" customHeight="true" outlineLevel="0" collapsed="false">
      <c r="A4" s="12" t="s">
        <v>38</v>
      </c>
      <c r="B4" s="13" t="s">
        <v>39</v>
      </c>
      <c r="C4" s="14" t="s">
        <v>40</v>
      </c>
      <c r="D4" s="15" t="n">
        <v>2500</v>
      </c>
      <c r="E4" s="16" t="n">
        <f aca="false">D4/$E$2</f>
        <v>19.3050193050193</v>
      </c>
      <c r="F4" s="17" t="n">
        <v>50</v>
      </c>
      <c r="G4" s="17" t="n">
        <v>40</v>
      </c>
      <c r="H4" s="18" t="n">
        <f aca="false">IF(OR(F4="",F4=0),"",D4/F4)</f>
        <v>50</v>
      </c>
      <c r="I4" s="18" t="n">
        <f aca="false">IF(OR(G4="",G4=0),"",D4/G4)</f>
        <v>62.5</v>
      </c>
      <c r="J4" s="14" t="s">
        <v>41</v>
      </c>
      <c r="K4" s="14" t="s">
        <v>42</v>
      </c>
      <c r="L4" s="19" t="s">
        <v>43</v>
      </c>
    </row>
    <row r="5" customFormat="false" ht="37.5" hidden="false" customHeight="true" outlineLevel="0" collapsed="false">
      <c r="A5" s="12" t="s">
        <v>38</v>
      </c>
      <c r="B5" s="13" t="s">
        <v>39</v>
      </c>
      <c r="C5" s="14" t="s">
        <v>44</v>
      </c>
      <c r="D5" s="15" t="n">
        <v>5500</v>
      </c>
      <c r="E5" s="16" t="n">
        <f aca="false">D5/$E$2</f>
        <v>42.4710424710425</v>
      </c>
      <c r="F5" s="17" t="n">
        <v>100</v>
      </c>
      <c r="G5" s="17" t="n">
        <v>80</v>
      </c>
      <c r="H5" s="18" t="n">
        <f aca="false">IF(OR(F5="",F5=0),"",D5/F5)</f>
        <v>55</v>
      </c>
      <c r="I5" s="18" t="n">
        <f aca="false">IF(OR(G5="",G5=0),"",D5/G5)</f>
        <v>68.75</v>
      </c>
      <c r="J5" s="14" t="s">
        <v>45</v>
      </c>
      <c r="K5" s="14" t="s">
        <v>46</v>
      </c>
      <c r="L5" s="19" t="s">
        <v>43</v>
      </c>
    </row>
    <row r="6" customFormat="false" ht="37.5" hidden="false" customHeight="true" outlineLevel="0" collapsed="false">
      <c r="A6" s="12" t="s">
        <v>38</v>
      </c>
      <c r="B6" s="13" t="s">
        <v>39</v>
      </c>
      <c r="C6" s="14" t="s">
        <v>47</v>
      </c>
      <c r="D6" s="15" t="n">
        <v>7400</v>
      </c>
      <c r="E6" s="16" t="n">
        <f aca="false">D6/$E$2</f>
        <v>57.1428571428571</v>
      </c>
      <c r="F6" s="17" t="n">
        <v>150</v>
      </c>
      <c r="G6" s="17" t="n">
        <v>120</v>
      </c>
      <c r="H6" s="18" t="n">
        <f aca="false">IF(OR(F6="",F6=0),"",D6/F6)</f>
        <v>49.3333333333333</v>
      </c>
      <c r="I6" s="18" t="n">
        <f aca="false">IF(OR(G6="",G6=0),"",D6/G6)</f>
        <v>61.6666666666667</v>
      </c>
      <c r="J6" s="14" t="s">
        <v>48</v>
      </c>
      <c r="K6" s="14" t="s">
        <v>46</v>
      </c>
      <c r="L6" s="19" t="s">
        <v>43</v>
      </c>
    </row>
    <row r="7" customFormat="false" ht="37.5" hidden="false" customHeight="true" outlineLevel="0" collapsed="false">
      <c r="A7" s="12" t="s">
        <v>38</v>
      </c>
      <c r="B7" s="13" t="s">
        <v>39</v>
      </c>
      <c r="C7" s="14" t="s">
        <v>49</v>
      </c>
      <c r="D7" s="15" t="n">
        <v>10000</v>
      </c>
      <c r="E7" s="16" t="n">
        <f aca="false">D7/$E$2</f>
        <v>77.2200772200772</v>
      </c>
      <c r="F7" s="17" t="n">
        <v>200</v>
      </c>
      <c r="G7" s="17" t="n">
        <v>160</v>
      </c>
      <c r="H7" s="18" t="n">
        <f aca="false">IF(OR(F7="",F7=0),"",D7/F7)</f>
        <v>50</v>
      </c>
      <c r="I7" s="18" t="n">
        <f aca="false">IF(OR(G7="",G7=0),"",D7/G7)</f>
        <v>62.5</v>
      </c>
      <c r="J7" s="14" t="s">
        <v>50</v>
      </c>
      <c r="K7" s="14" t="s">
        <v>46</v>
      </c>
      <c r="L7" s="19" t="s">
        <v>43</v>
      </c>
    </row>
    <row r="8" customFormat="false" ht="37.5" hidden="false" customHeight="true" outlineLevel="0" collapsed="false">
      <c r="A8" s="12" t="s">
        <v>51</v>
      </c>
      <c r="B8" s="13" t="s">
        <v>39</v>
      </c>
      <c r="C8" s="14" t="s">
        <v>52</v>
      </c>
      <c r="D8" s="15" t="n">
        <v>1500</v>
      </c>
      <c r="E8" s="16" t="n">
        <f aca="false">D8/$E$2</f>
        <v>11.5830115830116</v>
      </c>
      <c r="F8" s="17" t="n">
        <v>30</v>
      </c>
      <c r="G8" s="17" t="n">
        <v>20</v>
      </c>
      <c r="H8" s="18" t="n">
        <f aca="false">IF(OR(F8="",F8=0),"",D8/F8)</f>
        <v>50</v>
      </c>
      <c r="I8" s="18" t="n">
        <f aca="false">IF(OR(G8="",G8=0),"",D8/G8)</f>
        <v>75</v>
      </c>
      <c r="J8" s="14" t="s">
        <v>53</v>
      </c>
      <c r="K8" s="14" t="s">
        <v>54</v>
      </c>
      <c r="L8" s="19" t="s">
        <v>55</v>
      </c>
    </row>
    <row r="9" customFormat="false" ht="37.5" hidden="false" customHeight="true" outlineLevel="0" collapsed="false">
      <c r="A9" s="12" t="s">
        <v>51</v>
      </c>
      <c r="B9" s="13" t="s">
        <v>39</v>
      </c>
      <c r="C9" s="14" t="s">
        <v>56</v>
      </c>
      <c r="D9" s="15" t="n">
        <v>3750</v>
      </c>
      <c r="E9" s="16" t="n">
        <f aca="false">D9/$E$2</f>
        <v>28.957528957529</v>
      </c>
      <c r="F9" s="17" t="n">
        <v>50</v>
      </c>
      <c r="G9" s="17" t="n">
        <v>50</v>
      </c>
      <c r="H9" s="18" t="n">
        <f aca="false">IF(OR(F9="",F9=0),"",D9/F9)</f>
        <v>75</v>
      </c>
      <c r="I9" s="18" t="n">
        <f aca="false">IF(OR(G9="",G9=0),"",D9/G9)</f>
        <v>75</v>
      </c>
      <c r="J9" s="14" t="s">
        <v>57</v>
      </c>
      <c r="K9" s="14" t="s">
        <v>58</v>
      </c>
      <c r="L9" s="19" t="s">
        <v>55</v>
      </c>
    </row>
    <row r="10" customFormat="false" ht="37.5" hidden="false" customHeight="true" outlineLevel="0" collapsed="false">
      <c r="A10" s="12" t="s">
        <v>51</v>
      </c>
      <c r="B10" s="13" t="s">
        <v>39</v>
      </c>
      <c r="C10" s="14" t="s">
        <v>59</v>
      </c>
      <c r="D10" s="15" t="n">
        <v>5250</v>
      </c>
      <c r="E10" s="16" t="n">
        <f aca="false">D10/$E$2</f>
        <v>40.5405405405405</v>
      </c>
      <c r="F10" s="17" t="n">
        <v>100</v>
      </c>
      <c r="G10" s="17" t="n">
        <v>75</v>
      </c>
      <c r="H10" s="18" t="n">
        <f aca="false">IF(OR(F10="",F10=0),"",D10/F10)</f>
        <v>52.5</v>
      </c>
      <c r="I10" s="18" t="n">
        <f aca="false">IF(OR(G10="",G10=0),"",D10/G10)</f>
        <v>70</v>
      </c>
      <c r="J10" s="14" t="s">
        <v>60</v>
      </c>
      <c r="K10" s="14" t="s">
        <v>61</v>
      </c>
      <c r="L10" s="19" t="s">
        <v>55</v>
      </c>
    </row>
    <row r="11" customFormat="false" ht="37.5" hidden="false" customHeight="true" outlineLevel="0" collapsed="false">
      <c r="A11" s="12" t="s">
        <v>51</v>
      </c>
      <c r="B11" s="13" t="s">
        <v>39</v>
      </c>
      <c r="C11" s="14" t="s">
        <v>49</v>
      </c>
      <c r="D11" s="15" t="n">
        <v>15000</v>
      </c>
      <c r="E11" s="16" t="n">
        <f aca="false">D11/$E$2</f>
        <v>115.830115830116</v>
      </c>
      <c r="F11" s="17" t="n">
        <v>150</v>
      </c>
      <c r="G11" s="17" t="n">
        <v>200</v>
      </c>
      <c r="H11" s="18" t="n">
        <f aca="false">IF(OR(F11="",F11=0),"",D11/F11)</f>
        <v>100</v>
      </c>
      <c r="I11" s="18" t="n">
        <f aca="false">IF(OR(G11="",G11=0),"",D11/G11)</f>
        <v>75</v>
      </c>
      <c r="J11" s="14" t="s">
        <v>62</v>
      </c>
      <c r="K11" s="14" t="s">
        <v>63</v>
      </c>
      <c r="L11" s="19" t="s">
        <v>55</v>
      </c>
    </row>
    <row r="12" customFormat="false" ht="37.5" hidden="false" customHeight="true" outlineLevel="0" collapsed="false">
      <c r="A12" s="20" t="s">
        <v>64</v>
      </c>
      <c r="B12" s="21" t="s">
        <v>65</v>
      </c>
      <c r="C12" s="20" t="s">
        <v>66</v>
      </c>
      <c r="D12" s="22" t="n">
        <f aca="false">E12*$E$2</f>
        <v>1936.025</v>
      </c>
      <c r="E12" s="23" t="n">
        <v>14.95</v>
      </c>
      <c r="F12" s="24" t="n">
        <v>60</v>
      </c>
      <c r="G12" s="24" t="n">
        <v>20</v>
      </c>
      <c r="H12" s="22" t="n">
        <f aca="false">IF(OR(F12="",F12=0),"",D12/F12)</f>
        <v>32.2670833333333</v>
      </c>
      <c r="I12" s="22" t="n">
        <f aca="false">IF(OR(G12="",G12=0),"",D12/G12)</f>
        <v>96.80125</v>
      </c>
      <c r="J12" s="20" t="s">
        <v>67</v>
      </c>
      <c r="K12" s="20" t="s">
        <v>68</v>
      </c>
      <c r="L12" s="25" t="s">
        <v>69</v>
      </c>
    </row>
    <row r="13" customFormat="false" ht="37.5" hidden="false" customHeight="true" outlineLevel="0" collapsed="false">
      <c r="A13" s="26" t="s">
        <v>70</v>
      </c>
      <c r="B13" s="27" t="s">
        <v>65</v>
      </c>
      <c r="C13" s="26" t="s">
        <v>71</v>
      </c>
      <c r="D13" s="28" t="n">
        <f aca="false">E13*$E$2</f>
        <v>1941.205</v>
      </c>
      <c r="E13" s="29" t="n">
        <v>14.99</v>
      </c>
      <c r="F13" s="30" t="n">
        <v>30</v>
      </c>
      <c r="G13" s="30" t="n">
        <v>10</v>
      </c>
      <c r="H13" s="28" t="n">
        <f aca="false">IF(OR(F13="",F13=0),"",D13/F13)</f>
        <v>64.7068333333333</v>
      </c>
      <c r="I13" s="28" t="n">
        <f aca="false">IF(OR(G13="",G13=0),"",D13/G13)</f>
        <v>194.1205</v>
      </c>
      <c r="J13" s="26" t="s">
        <v>72</v>
      </c>
      <c r="K13" s="26" t="s">
        <v>73</v>
      </c>
      <c r="L13" s="31" t="s">
        <v>74</v>
      </c>
    </row>
    <row r="14" customFormat="false" ht="37.5" hidden="false" customHeight="true" outlineLevel="0" collapsed="false">
      <c r="A14" s="20" t="s">
        <v>75</v>
      </c>
      <c r="B14" s="21" t="s">
        <v>65</v>
      </c>
      <c r="C14" s="20" t="s">
        <v>76</v>
      </c>
      <c r="D14" s="22" t="n">
        <f aca="false">E14*$E$2</f>
        <v>646.205</v>
      </c>
      <c r="E14" s="23" t="n">
        <v>4.99</v>
      </c>
      <c r="F14" s="21" t="s">
        <v>77</v>
      </c>
      <c r="G14" s="21" t="s">
        <v>78</v>
      </c>
      <c r="H14" s="21" t="s">
        <v>79</v>
      </c>
      <c r="I14" s="21" t="s">
        <v>79</v>
      </c>
      <c r="J14" s="20" t="s">
        <v>80</v>
      </c>
      <c r="K14" s="20" t="s">
        <v>81</v>
      </c>
      <c r="L14" s="25" t="s">
        <v>82</v>
      </c>
    </row>
    <row r="15" customFormat="false" ht="37.5" hidden="false" customHeight="true" outlineLevel="0" collapsed="false">
      <c r="A15" s="26" t="s">
        <v>75</v>
      </c>
      <c r="B15" s="27" t="s">
        <v>65</v>
      </c>
      <c r="C15" s="26" t="s">
        <v>83</v>
      </c>
      <c r="D15" s="28" t="n">
        <f aca="false">E15*$E$2</f>
        <v>1034.705</v>
      </c>
      <c r="E15" s="29" t="n">
        <v>7.99</v>
      </c>
      <c r="F15" s="27" t="s">
        <v>77</v>
      </c>
      <c r="G15" s="27" t="s">
        <v>78</v>
      </c>
      <c r="H15" s="27" t="s">
        <v>79</v>
      </c>
      <c r="I15" s="27" t="s">
        <v>79</v>
      </c>
      <c r="J15" s="26" t="s">
        <v>84</v>
      </c>
      <c r="K15" s="26" t="s">
        <v>85</v>
      </c>
      <c r="L15" s="31" t="s">
        <v>82</v>
      </c>
    </row>
    <row r="17" customFormat="false" ht="15" hidden="false" customHeight="false" outlineLevel="0" collapsed="false">
      <c r="A17" s="3" t="s">
        <v>86</v>
      </c>
    </row>
    <row r="18" customFormat="false" ht="15" hidden="false" customHeight="false" outlineLevel="0" collapsed="false">
      <c r="A18" s="2" t="s">
        <v>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 t="s">
        <v>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mergeCells count="3">
    <mergeCell ref="A1:L1"/>
    <mergeCell ref="A18:L18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9.7" hidden="false" customHeight="false" outlineLevel="0" collapsed="false">
      <c r="A1" s="8" t="s">
        <v>89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10" t="s">
        <v>90</v>
      </c>
    </row>
    <row r="4" customFormat="false" ht="15" hidden="false" customHeight="false" outlineLevel="0" collapsed="false">
      <c r="A4" s="3" t="s">
        <v>91</v>
      </c>
    </row>
    <row r="5" customFormat="false" ht="26.85" hidden="false" customHeight="false" outlineLevel="0" collapsed="false">
      <c r="A5" s="11" t="s">
        <v>92</v>
      </c>
      <c r="B5" s="11" t="s">
        <v>27</v>
      </c>
      <c r="C5" s="11" t="s">
        <v>93</v>
      </c>
      <c r="D5" s="11" t="s">
        <v>94</v>
      </c>
      <c r="E5" s="11" t="s">
        <v>95</v>
      </c>
      <c r="F5" s="11" t="s">
        <v>35</v>
      </c>
      <c r="G5" s="11" t="s">
        <v>96</v>
      </c>
      <c r="H5" s="11" t="s">
        <v>34</v>
      </c>
    </row>
    <row r="6" customFormat="false" ht="15" hidden="false" customHeight="false" outlineLevel="0" collapsed="false">
      <c r="A6" s="32" t="n">
        <v>1</v>
      </c>
      <c r="B6" s="27" t="str">
        <f aca="false">'Price Comparison'!A8</f>
        <v>Truehost</v>
      </c>
      <c r="C6" s="27" t="str">
        <f aca="false">'Price Comparison'!C8</f>
        <v>Bronze Reseller</v>
      </c>
      <c r="D6" s="28" t="n">
        <f aca="false">'Price Comparison'!D8</f>
        <v>1500</v>
      </c>
      <c r="E6" s="33" t="n">
        <f aca="false">'Price Comparison'!G8</f>
        <v>20</v>
      </c>
      <c r="F6" s="28" t="n">
        <f aca="false">'Price Comparison'!I8</f>
        <v>75</v>
      </c>
      <c r="G6" s="33" t="n">
        <f aca="false">'Price Comparison'!F8</f>
        <v>30</v>
      </c>
      <c r="H6" s="28" t="n">
        <f aca="false">'Price Comparison'!H8</f>
        <v>50</v>
      </c>
    </row>
    <row r="7" customFormat="false" ht="15" hidden="false" customHeight="false" outlineLevel="0" collapsed="false">
      <c r="A7" s="34" t="n">
        <v>2</v>
      </c>
      <c r="B7" s="21" t="str">
        <f aca="false">'Price Comparison'!A4</f>
        <v>Hostnali</v>
      </c>
      <c r="C7" s="21" t="str">
        <f aca="false">'Price Comparison'!C4</f>
        <v>Budget Reseller</v>
      </c>
      <c r="D7" s="22" t="n">
        <f aca="false">'Price Comparison'!D4</f>
        <v>2500</v>
      </c>
      <c r="E7" s="35" t="n">
        <f aca="false">'Price Comparison'!G4</f>
        <v>40</v>
      </c>
      <c r="F7" s="22" t="n">
        <f aca="false">'Price Comparison'!I4</f>
        <v>62.5</v>
      </c>
      <c r="G7" s="35" t="n">
        <f aca="false">'Price Comparison'!F4</f>
        <v>50</v>
      </c>
      <c r="H7" s="22" t="n">
        <f aca="false">'Price Comparison'!H4</f>
        <v>50</v>
      </c>
    </row>
    <row r="8" customFormat="false" ht="15" hidden="false" customHeight="false" outlineLevel="0" collapsed="false">
      <c r="A8" s="32" t="n">
        <v>3</v>
      </c>
      <c r="B8" s="27" t="str">
        <f aca="false">'Price Comparison'!A9</f>
        <v>Truehost</v>
      </c>
      <c r="C8" s="27" t="str">
        <f aca="false">'Price Comparison'!C9</f>
        <v>Silver Reseller</v>
      </c>
      <c r="D8" s="28" t="n">
        <f aca="false">'Price Comparison'!D9</f>
        <v>3750</v>
      </c>
      <c r="E8" s="33" t="n">
        <f aca="false">'Price Comparison'!G9</f>
        <v>50</v>
      </c>
      <c r="F8" s="28" t="n">
        <f aca="false">'Price Comparison'!I9</f>
        <v>75</v>
      </c>
      <c r="G8" s="33" t="n">
        <f aca="false">'Price Comparison'!F9</f>
        <v>50</v>
      </c>
      <c r="H8" s="28" t="n">
        <f aca="false">'Price Comparison'!H9</f>
        <v>75</v>
      </c>
    </row>
    <row r="9" customFormat="false" ht="15" hidden="false" customHeight="false" outlineLevel="0" collapsed="false">
      <c r="A9" s="34" t="n">
        <v>4</v>
      </c>
      <c r="B9" s="21" t="str">
        <f aca="false">'Price Comparison'!A5</f>
        <v>Hostnali</v>
      </c>
      <c r="C9" s="21" t="str">
        <f aca="false">'Price Comparison'!C5</f>
        <v>Standard Reseller</v>
      </c>
      <c r="D9" s="22" t="n">
        <f aca="false">'Price Comparison'!D5</f>
        <v>5500</v>
      </c>
      <c r="E9" s="35" t="n">
        <f aca="false">'Price Comparison'!G5</f>
        <v>80</v>
      </c>
      <c r="F9" s="22" t="n">
        <f aca="false">'Price Comparison'!I5</f>
        <v>68.75</v>
      </c>
      <c r="G9" s="35" t="n">
        <f aca="false">'Price Comparison'!F5</f>
        <v>100</v>
      </c>
      <c r="H9" s="22" t="n">
        <f aca="false">'Price Comparison'!H5</f>
        <v>55</v>
      </c>
    </row>
    <row r="10" customFormat="false" ht="15" hidden="false" customHeight="false" outlineLevel="0" collapsed="false">
      <c r="A10" s="32" t="n">
        <v>5</v>
      </c>
      <c r="B10" s="27" t="str">
        <f aca="false">'Price Comparison'!A10</f>
        <v>Truehost</v>
      </c>
      <c r="C10" s="27" t="str">
        <f aca="false">'Price Comparison'!C10</f>
        <v>Gold Reseller</v>
      </c>
      <c r="D10" s="28" t="n">
        <f aca="false">'Price Comparison'!D10</f>
        <v>5250</v>
      </c>
      <c r="E10" s="33" t="n">
        <f aca="false">'Price Comparison'!G10</f>
        <v>75</v>
      </c>
      <c r="F10" s="28" t="n">
        <f aca="false">'Price Comparison'!I10</f>
        <v>70</v>
      </c>
      <c r="G10" s="33" t="n">
        <f aca="false">'Price Comparison'!F10</f>
        <v>100</v>
      </c>
      <c r="H10" s="28" t="n">
        <f aca="false">'Price Comparison'!H10</f>
        <v>52.5</v>
      </c>
    </row>
    <row r="11" customFormat="false" ht="15" hidden="false" customHeight="false" outlineLevel="0" collapsed="false">
      <c r="A11" s="34" t="n">
        <v>6</v>
      </c>
      <c r="B11" s="21" t="str">
        <f aca="false">'Price Comparison'!A6</f>
        <v>Hostnali</v>
      </c>
      <c r="C11" s="21" t="str">
        <f aca="false">'Price Comparison'!C6</f>
        <v>Executive Reseller</v>
      </c>
      <c r="D11" s="22" t="n">
        <f aca="false">'Price Comparison'!D6</f>
        <v>7400</v>
      </c>
      <c r="E11" s="35" t="n">
        <f aca="false">'Price Comparison'!G6</f>
        <v>120</v>
      </c>
      <c r="F11" s="22" t="n">
        <f aca="false">'Price Comparison'!I6</f>
        <v>61.6666666666667</v>
      </c>
      <c r="G11" s="35" t="n">
        <f aca="false">'Price Comparison'!F6</f>
        <v>150</v>
      </c>
      <c r="H11" s="22" t="n">
        <f aca="false">'Price Comparison'!H6</f>
        <v>49.3333333333333</v>
      </c>
    </row>
    <row r="12" customFormat="false" ht="15" hidden="false" customHeight="false" outlineLevel="0" collapsed="false">
      <c r="A12" s="32" t="n">
        <v>7</v>
      </c>
      <c r="B12" s="27" t="str">
        <f aca="false">'Price Comparison'!A7</f>
        <v>Hostnali</v>
      </c>
      <c r="C12" s="27" t="str">
        <f aca="false">'Price Comparison'!C7</f>
        <v>Platinum Reseller</v>
      </c>
      <c r="D12" s="28" t="n">
        <f aca="false">'Price Comparison'!D7</f>
        <v>10000</v>
      </c>
      <c r="E12" s="33" t="n">
        <f aca="false">'Price Comparison'!G7</f>
        <v>160</v>
      </c>
      <c r="F12" s="28" t="n">
        <f aca="false">'Price Comparison'!I7</f>
        <v>62.5</v>
      </c>
      <c r="G12" s="33" t="n">
        <f aca="false">'Price Comparison'!F7</f>
        <v>200</v>
      </c>
      <c r="H12" s="28" t="n">
        <f aca="false">'Price Comparison'!H7</f>
        <v>50</v>
      </c>
    </row>
    <row r="13" customFormat="false" ht="15" hidden="false" customHeight="false" outlineLevel="0" collapsed="false">
      <c r="A13" s="34" t="n">
        <v>8</v>
      </c>
      <c r="B13" s="21" t="str">
        <f aca="false">'Price Comparison'!A12</f>
        <v>Htech-solutions</v>
      </c>
      <c r="C13" s="21" t="str">
        <f aca="false">'Price Comparison'!C12</f>
        <v>RS-1</v>
      </c>
      <c r="D13" s="22" t="n">
        <f aca="false">'Price Comparison'!D12</f>
        <v>1936.025</v>
      </c>
      <c r="E13" s="35" t="n">
        <f aca="false">'Price Comparison'!G12</f>
        <v>20</v>
      </c>
      <c r="F13" s="22" t="n">
        <f aca="false">'Price Comparison'!I12</f>
        <v>96.80125</v>
      </c>
      <c r="G13" s="35" t="n">
        <f aca="false">'Price Comparison'!F12</f>
        <v>60</v>
      </c>
      <c r="H13" s="22" t="n">
        <f aca="false">'Price Comparison'!H12</f>
        <v>32.2670833333333</v>
      </c>
    </row>
    <row r="14" customFormat="false" ht="15" hidden="false" customHeight="false" outlineLevel="0" collapsed="false">
      <c r="A14" s="32" t="n">
        <v>9</v>
      </c>
      <c r="B14" s="27" t="str">
        <f aca="false">'Price Comparison'!A13</f>
        <v>Gigacore.io</v>
      </c>
      <c r="C14" s="27" t="str">
        <f aca="false">'Price Comparison'!C13</f>
        <v>Reseller Vector</v>
      </c>
      <c r="D14" s="28" t="n">
        <f aca="false">'Price Comparison'!D13</f>
        <v>1941.205</v>
      </c>
      <c r="E14" s="33" t="n">
        <f aca="false">'Price Comparison'!G13</f>
        <v>10</v>
      </c>
      <c r="F14" s="28" t="n">
        <f aca="false">'Price Comparison'!I13</f>
        <v>194.1205</v>
      </c>
      <c r="G14" s="33" t="n">
        <f aca="false">'Price Comparison'!F13</f>
        <v>30</v>
      </c>
      <c r="H14" s="28" t="n">
        <f aca="false">'Price Comparison'!H13</f>
        <v>64.7068333333333</v>
      </c>
    </row>
    <row r="15" customFormat="false" ht="15" hidden="false" customHeight="false" outlineLevel="0" collapsed="false">
      <c r="A15" s="34" t="n">
        <v>10</v>
      </c>
      <c r="B15" s="21" t="str">
        <f aca="false">'Price Comparison'!A11</f>
        <v>Truehost</v>
      </c>
      <c r="C15" s="21" t="str">
        <f aca="false">'Price Comparison'!C11</f>
        <v>Platinum Reseller</v>
      </c>
      <c r="D15" s="22" t="n">
        <f aca="false">'Price Comparison'!D11</f>
        <v>15000</v>
      </c>
      <c r="E15" s="35" t="n">
        <f aca="false">'Price Comparison'!G11</f>
        <v>200</v>
      </c>
      <c r="F15" s="22" t="n">
        <f aca="false">'Price Comparison'!I11</f>
        <v>75</v>
      </c>
      <c r="G15" s="35" t="n">
        <f aca="false">'Price Comparison'!F11</f>
        <v>150</v>
      </c>
      <c r="H15" s="22" t="n">
        <f aca="false">'Price Comparison'!H11</f>
        <v>100</v>
      </c>
    </row>
    <row r="17" customFormat="false" ht="15" hidden="false" customHeight="false" outlineLevel="0" collapsed="false">
      <c r="A17" s="3" t="s">
        <v>97</v>
      </c>
    </row>
    <row r="18" customFormat="false" ht="15" hidden="false" customHeight="true" outlineLevel="0" collapsed="false">
      <c r="A18" s="4" t="s">
        <v>98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</sheetData>
  <mergeCells count="2">
    <mergeCell ref="A1:H1"/>
    <mergeCell ref="A18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8" t="s">
        <v>99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10" t="s">
        <v>100</v>
      </c>
    </row>
    <row r="4" customFormat="false" ht="26.85" hidden="false" customHeight="false" outlineLevel="0" collapsed="false">
      <c r="A4" s="11" t="s">
        <v>101</v>
      </c>
      <c r="B4" s="11" t="s">
        <v>38</v>
      </c>
      <c r="C4" s="11" t="s">
        <v>51</v>
      </c>
      <c r="D4" s="11" t="s">
        <v>64</v>
      </c>
      <c r="E4" s="11" t="s">
        <v>70</v>
      </c>
      <c r="F4" s="11" t="s">
        <v>75</v>
      </c>
      <c r="G4" s="11" t="s">
        <v>102</v>
      </c>
    </row>
    <row r="5" customFormat="false" ht="15" hidden="false" customHeight="false" outlineLevel="0" collapsed="false">
      <c r="A5" s="20" t="s">
        <v>103</v>
      </c>
      <c r="B5" s="36" t="s">
        <v>104</v>
      </c>
      <c r="C5" s="36" t="s">
        <v>104</v>
      </c>
      <c r="D5" s="36" t="s">
        <v>104</v>
      </c>
      <c r="E5" s="36" t="s">
        <v>104</v>
      </c>
      <c r="F5" s="36" t="s">
        <v>105</v>
      </c>
      <c r="G5" s="21" t="s">
        <v>106</v>
      </c>
    </row>
    <row r="6" customFormat="false" ht="15" hidden="false" customHeight="false" outlineLevel="0" collapsed="false">
      <c r="A6" s="26" t="s">
        <v>107</v>
      </c>
      <c r="B6" s="36" t="s">
        <v>104</v>
      </c>
      <c r="C6" s="36" t="s">
        <v>104</v>
      </c>
      <c r="D6" s="36" t="s">
        <v>104</v>
      </c>
      <c r="E6" s="36" t="s">
        <v>104</v>
      </c>
      <c r="F6" s="36" t="s">
        <v>104</v>
      </c>
      <c r="G6" s="27" t="s">
        <v>108</v>
      </c>
    </row>
    <row r="7" customFormat="false" ht="15" hidden="false" customHeight="false" outlineLevel="0" collapsed="false">
      <c r="A7" s="20" t="s">
        <v>109</v>
      </c>
      <c r="B7" s="36" t="s">
        <v>110</v>
      </c>
      <c r="C7" s="21" t="s">
        <v>111</v>
      </c>
      <c r="D7" s="21" t="s">
        <v>112</v>
      </c>
      <c r="E7" s="21" t="s">
        <v>113</v>
      </c>
      <c r="F7" s="21" t="s">
        <v>112</v>
      </c>
      <c r="G7" s="21" t="s">
        <v>114</v>
      </c>
    </row>
    <row r="8" customFormat="false" ht="15" hidden="false" customHeight="false" outlineLevel="0" collapsed="false">
      <c r="A8" s="26" t="s">
        <v>115</v>
      </c>
      <c r="B8" s="36" t="s">
        <v>104</v>
      </c>
      <c r="C8" s="36" t="s">
        <v>116</v>
      </c>
      <c r="D8" s="27" t="s">
        <v>112</v>
      </c>
      <c r="E8" s="27" t="s">
        <v>112</v>
      </c>
      <c r="F8" s="27" t="s">
        <v>112</v>
      </c>
      <c r="G8" s="27" t="s">
        <v>117</v>
      </c>
    </row>
    <row r="9" customFormat="false" ht="15" hidden="false" customHeight="false" outlineLevel="0" collapsed="false">
      <c r="A9" s="20" t="s">
        <v>118</v>
      </c>
      <c r="B9" s="36" t="s">
        <v>104</v>
      </c>
      <c r="C9" s="36" t="s">
        <v>119</v>
      </c>
      <c r="D9" s="21" t="s">
        <v>112</v>
      </c>
      <c r="E9" s="21" t="s">
        <v>112</v>
      </c>
      <c r="F9" s="21" t="s">
        <v>112</v>
      </c>
      <c r="G9" s="21" t="s">
        <v>120</v>
      </c>
    </row>
    <row r="10" customFormat="false" ht="15" hidden="false" customHeight="false" outlineLevel="0" collapsed="false">
      <c r="A10" s="26" t="s">
        <v>121</v>
      </c>
      <c r="B10" s="27" t="s">
        <v>122</v>
      </c>
      <c r="C10" s="36" t="s">
        <v>123</v>
      </c>
      <c r="D10" s="27" t="s">
        <v>112</v>
      </c>
      <c r="E10" s="27" t="s">
        <v>112</v>
      </c>
      <c r="F10" s="27" t="s">
        <v>112</v>
      </c>
      <c r="G10" s="27" t="s">
        <v>124</v>
      </c>
    </row>
    <row r="11" customFormat="false" ht="15" hidden="false" customHeight="false" outlineLevel="0" collapsed="false">
      <c r="A11" s="20" t="s">
        <v>125</v>
      </c>
      <c r="B11" s="36" t="s">
        <v>104</v>
      </c>
      <c r="C11" s="36" t="s">
        <v>104</v>
      </c>
      <c r="D11" s="36" t="s">
        <v>104</v>
      </c>
      <c r="E11" s="36" t="s">
        <v>104</v>
      </c>
      <c r="F11" s="21" t="s">
        <v>126</v>
      </c>
      <c r="G11" s="21" t="s">
        <v>127</v>
      </c>
    </row>
    <row r="12" customFormat="false" ht="15" hidden="false" customHeight="false" outlineLevel="0" collapsed="false">
      <c r="A12" s="26" t="s">
        <v>128</v>
      </c>
      <c r="B12" s="36" t="s">
        <v>104</v>
      </c>
      <c r="C12" s="36" t="s">
        <v>104</v>
      </c>
      <c r="D12" s="36" t="s">
        <v>129</v>
      </c>
      <c r="E12" s="36" t="s">
        <v>129</v>
      </c>
      <c r="F12" s="36" t="s">
        <v>104</v>
      </c>
      <c r="G12" s="27" t="s">
        <v>130</v>
      </c>
    </row>
    <row r="13" customFormat="false" ht="15" hidden="false" customHeight="false" outlineLevel="0" collapsed="false">
      <c r="A13" s="20" t="s">
        <v>131</v>
      </c>
      <c r="B13" s="36" t="s">
        <v>104</v>
      </c>
      <c r="C13" s="36" t="s">
        <v>104</v>
      </c>
      <c r="D13" s="36" t="s">
        <v>104</v>
      </c>
      <c r="E13" s="36" t="s">
        <v>104</v>
      </c>
      <c r="F13" s="36" t="s">
        <v>104</v>
      </c>
      <c r="G13" s="21" t="s">
        <v>132</v>
      </c>
    </row>
    <row r="14" customFormat="false" ht="15" hidden="false" customHeight="false" outlineLevel="0" collapsed="false">
      <c r="A14" s="26" t="s">
        <v>133</v>
      </c>
      <c r="B14" s="36" t="s">
        <v>104</v>
      </c>
      <c r="C14" s="36" t="s">
        <v>104</v>
      </c>
      <c r="D14" s="36" t="s">
        <v>104</v>
      </c>
      <c r="E14" s="36" t="s">
        <v>104</v>
      </c>
      <c r="F14" s="36" t="s">
        <v>104</v>
      </c>
      <c r="G14" s="27" t="s">
        <v>134</v>
      </c>
    </row>
    <row r="15" customFormat="false" ht="15" hidden="false" customHeight="false" outlineLevel="0" collapsed="false">
      <c r="A15" s="20" t="s">
        <v>135</v>
      </c>
      <c r="B15" s="36" t="s">
        <v>104</v>
      </c>
      <c r="C15" s="36" t="s">
        <v>104</v>
      </c>
      <c r="D15" s="36" t="s">
        <v>104</v>
      </c>
      <c r="E15" s="36" t="s">
        <v>104</v>
      </c>
      <c r="F15" s="36" t="s">
        <v>136</v>
      </c>
      <c r="G15" s="21" t="s">
        <v>137</v>
      </c>
    </row>
    <row r="16" customFormat="false" ht="15" hidden="false" customHeight="false" outlineLevel="0" collapsed="false">
      <c r="A16" s="26" t="s">
        <v>138</v>
      </c>
      <c r="B16" s="36" t="s">
        <v>104</v>
      </c>
      <c r="C16" s="36" t="s">
        <v>104</v>
      </c>
      <c r="D16" s="36" t="s">
        <v>104</v>
      </c>
      <c r="E16" s="27" t="s">
        <v>122</v>
      </c>
      <c r="F16" s="36" t="s">
        <v>104</v>
      </c>
      <c r="G16" s="27" t="s">
        <v>139</v>
      </c>
    </row>
    <row r="17" customFormat="false" ht="15" hidden="false" customHeight="false" outlineLevel="0" collapsed="false">
      <c r="A17" s="20" t="s">
        <v>140</v>
      </c>
      <c r="B17" s="21" t="s">
        <v>122</v>
      </c>
      <c r="C17" s="21" t="s">
        <v>122</v>
      </c>
      <c r="D17" s="36" t="s">
        <v>104</v>
      </c>
      <c r="E17" s="21" t="s">
        <v>122</v>
      </c>
      <c r="F17" s="36" t="s">
        <v>104</v>
      </c>
      <c r="G17" s="21" t="s">
        <v>141</v>
      </c>
    </row>
    <row r="18" customFormat="false" ht="15" hidden="false" customHeight="false" outlineLevel="0" collapsed="false">
      <c r="A18" s="26" t="s">
        <v>142</v>
      </c>
      <c r="B18" s="27" t="s">
        <v>122</v>
      </c>
      <c r="C18" s="27" t="s">
        <v>122</v>
      </c>
      <c r="D18" s="36" t="s">
        <v>104</v>
      </c>
      <c r="E18" s="27" t="s">
        <v>122</v>
      </c>
      <c r="F18" s="36" t="s">
        <v>104</v>
      </c>
      <c r="G18" s="27" t="s">
        <v>143</v>
      </c>
    </row>
    <row r="19" customFormat="false" ht="15" hidden="false" customHeight="false" outlineLevel="0" collapsed="false">
      <c r="A19" s="20" t="s">
        <v>144</v>
      </c>
      <c r="B19" s="36" t="s">
        <v>104</v>
      </c>
      <c r="C19" s="36" t="s">
        <v>104</v>
      </c>
      <c r="D19" s="21" t="s">
        <v>122</v>
      </c>
      <c r="E19" s="21" t="s">
        <v>122</v>
      </c>
      <c r="F19" s="21" t="s">
        <v>112</v>
      </c>
      <c r="G19" s="21" t="s">
        <v>145</v>
      </c>
    </row>
    <row r="20" customFormat="false" ht="15" hidden="false" customHeight="false" outlineLevel="0" collapsed="false">
      <c r="A20" s="26" t="s">
        <v>146</v>
      </c>
      <c r="B20" s="27" t="s">
        <v>122</v>
      </c>
      <c r="C20" s="27" t="s">
        <v>112</v>
      </c>
      <c r="D20" s="27" t="s">
        <v>112</v>
      </c>
      <c r="E20" s="36" t="s">
        <v>147</v>
      </c>
      <c r="F20" s="36" t="s">
        <v>104</v>
      </c>
      <c r="G20" s="27" t="s">
        <v>148</v>
      </c>
    </row>
    <row r="23" customFormat="false" ht="15" hidden="false" customHeight="false" outlineLevel="0" collapsed="false">
      <c r="A23" s="3" t="s">
        <v>149</v>
      </c>
    </row>
    <row r="24" customFormat="false" ht="15" hidden="false" customHeight="true" outlineLevel="0" collapsed="false">
      <c r="A24" s="4" t="s">
        <v>150</v>
      </c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</row>
  </sheetData>
  <mergeCells count="2">
    <mergeCell ref="A1:G1"/>
    <mergeCell ref="A24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8" t="s">
        <v>151</v>
      </c>
      <c r="B1" s="8"/>
    </row>
    <row r="3" customFormat="false" ht="15" hidden="false" customHeight="false" outlineLevel="0" collapsed="false">
      <c r="A3" s="3" t="s">
        <v>152</v>
      </c>
    </row>
    <row r="5" customFormat="false" ht="15" hidden="false" customHeight="false" outlineLevel="0" collapsed="false">
      <c r="A5" s="37" t="s">
        <v>153</v>
      </c>
      <c r="B5" s="37" t="s">
        <v>154</v>
      </c>
    </row>
    <row r="6" customFormat="false" ht="33.75" hidden="false" customHeight="true" outlineLevel="0" collapsed="false">
      <c r="A6" s="38" t="s">
        <v>155</v>
      </c>
      <c r="B6" s="26" t="s">
        <v>156</v>
      </c>
    </row>
    <row r="7" customFormat="false" ht="33.75" hidden="false" customHeight="true" outlineLevel="0" collapsed="false">
      <c r="A7" s="39" t="s">
        <v>157</v>
      </c>
      <c r="B7" s="26" t="s">
        <v>158</v>
      </c>
    </row>
    <row r="8" customFormat="false" ht="33.75" hidden="false" customHeight="true" outlineLevel="0" collapsed="false">
      <c r="A8" s="38" t="s">
        <v>159</v>
      </c>
      <c r="B8" s="26" t="s">
        <v>160</v>
      </c>
    </row>
    <row r="9" customFormat="false" ht="33.75" hidden="false" customHeight="true" outlineLevel="0" collapsed="false">
      <c r="A9" s="39" t="s">
        <v>161</v>
      </c>
      <c r="B9" s="26" t="s">
        <v>162</v>
      </c>
    </row>
    <row r="10" customFormat="false" ht="33.75" hidden="false" customHeight="true" outlineLevel="0" collapsed="false">
      <c r="A10" s="38" t="s">
        <v>163</v>
      </c>
      <c r="B10" s="26" t="s">
        <v>164</v>
      </c>
    </row>
    <row r="11" customFormat="false" ht="33.75" hidden="false" customHeight="true" outlineLevel="0" collapsed="false">
      <c r="A11" s="39" t="s">
        <v>165</v>
      </c>
      <c r="B11" s="26" t="s">
        <v>166</v>
      </c>
    </row>
    <row r="12" customFormat="false" ht="33.75" hidden="false" customHeight="true" outlineLevel="0" collapsed="false">
      <c r="A12" s="38" t="s">
        <v>167</v>
      </c>
      <c r="B12" s="26" t="s">
        <v>168</v>
      </c>
    </row>
    <row r="13" customFormat="false" ht="33.75" hidden="false" customHeight="true" outlineLevel="0" collapsed="false">
      <c r="A13" s="39" t="s">
        <v>169</v>
      </c>
      <c r="B13" s="26" t="s">
        <v>170</v>
      </c>
    </row>
    <row r="14" customFormat="false" ht="33.75" hidden="false" customHeight="true" outlineLevel="0" collapsed="false">
      <c r="A14" s="38" t="s">
        <v>171</v>
      </c>
      <c r="B14" s="26" t="s">
        <v>172</v>
      </c>
    </row>
    <row r="15" customFormat="false" ht="33.75" hidden="false" customHeight="true" outlineLevel="0" collapsed="false">
      <c r="A15" s="39" t="s">
        <v>173</v>
      </c>
      <c r="B15" s="26" t="s">
        <v>174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8"/>
  </cols>
  <sheetData>
    <row r="1" customFormat="false" ht="19.7" hidden="false" customHeight="false" outlineLevel="0" collapsed="false">
      <c r="A1" s="8" t="s">
        <v>175</v>
      </c>
      <c r="B1" s="8"/>
      <c r="C1" s="8"/>
    </row>
    <row r="3" customFormat="false" ht="15" hidden="false" customHeight="false" outlineLevel="0" collapsed="false">
      <c r="A3" s="3" t="s">
        <v>176</v>
      </c>
    </row>
    <row r="4" customFormat="false" ht="15" hidden="false" customHeight="true" outlineLevel="0" collapsed="false">
      <c r="A4" s="4" t="s">
        <v>177</v>
      </c>
      <c r="B4" s="4"/>
      <c r="C4" s="4"/>
    </row>
    <row r="5" customFormat="false" ht="15" hidden="false" customHeight="false" outlineLevel="0" collapsed="false">
      <c r="A5" s="4"/>
      <c r="B5" s="4"/>
      <c r="C5" s="4"/>
    </row>
    <row r="7" customFormat="false" ht="15" hidden="false" customHeight="false" outlineLevel="0" collapsed="false">
      <c r="A7" s="3" t="s">
        <v>178</v>
      </c>
    </row>
    <row r="8" customFormat="false" ht="15" hidden="false" customHeight="false" outlineLevel="0" collapsed="false">
      <c r="A8" s="5" t="s">
        <v>179</v>
      </c>
      <c r="B8" s="5"/>
      <c r="C8" s="5"/>
    </row>
    <row r="9" customFormat="false" ht="15" hidden="false" customHeight="false" outlineLevel="0" collapsed="false">
      <c r="A9" s="5" t="s">
        <v>180</v>
      </c>
      <c r="B9" s="5"/>
      <c r="C9" s="5"/>
    </row>
    <row r="10" customFormat="false" ht="15" hidden="false" customHeight="false" outlineLevel="0" collapsed="false">
      <c r="A10" s="5" t="s">
        <v>181</v>
      </c>
      <c r="B10" s="5"/>
      <c r="C10" s="5"/>
    </row>
    <row r="11" customFormat="false" ht="15" hidden="false" customHeight="false" outlineLevel="0" collapsed="false">
      <c r="A11" s="5" t="s">
        <v>182</v>
      </c>
      <c r="B11" s="5"/>
      <c r="C11" s="5"/>
    </row>
    <row r="13" customFormat="false" ht="15" hidden="false" customHeight="false" outlineLevel="0" collapsed="false">
      <c r="A13" s="3" t="s">
        <v>183</v>
      </c>
    </row>
    <row r="14" customFormat="false" ht="15" hidden="false" customHeight="false" outlineLevel="0" collapsed="false">
      <c r="A14" s="5" t="s">
        <v>184</v>
      </c>
      <c r="B14" s="5"/>
      <c r="C14" s="5"/>
    </row>
    <row r="15" customFormat="false" ht="15" hidden="false" customHeight="false" outlineLevel="0" collapsed="false">
      <c r="A15" s="5" t="s">
        <v>185</v>
      </c>
      <c r="B15" s="5"/>
      <c r="C15" s="5"/>
    </row>
    <row r="16" customFormat="false" ht="15" hidden="false" customHeight="false" outlineLevel="0" collapsed="false">
      <c r="A16" s="5" t="s">
        <v>186</v>
      </c>
      <c r="B16" s="5"/>
      <c r="C16" s="5"/>
    </row>
    <row r="17" customFormat="false" ht="15" hidden="false" customHeight="false" outlineLevel="0" collapsed="false">
      <c r="A17" s="5" t="s">
        <v>187</v>
      </c>
      <c r="B17" s="5"/>
      <c r="C17" s="5"/>
    </row>
    <row r="18" customFormat="false" ht="15" hidden="false" customHeight="false" outlineLevel="0" collapsed="false">
      <c r="A18" s="5" t="s">
        <v>188</v>
      </c>
      <c r="B18" s="5"/>
      <c r="C18" s="5"/>
    </row>
    <row r="19" customFormat="false" ht="15" hidden="false" customHeight="false" outlineLevel="0" collapsed="false">
      <c r="A19" s="5" t="s">
        <v>189</v>
      </c>
      <c r="B19" s="5"/>
      <c r="C19" s="5"/>
    </row>
    <row r="21" customFormat="false" ht="15" hidden="false" customHeight="false" outlineLevel="0" collapsed="false">
      <c r="A21" s="3" t="s">
        <v>190</v>
      </c>
    </row>
    <row r="22" customFormat="false" ht="15" hidden="false" customHeight="false" outlineLevel="0" collapsed="false">
      <c r="A22" s="37" t="s">
        <v>191</v>
      </c>
      <c r="B22" s="37" t="s">
        <v>192</v>
      </c>
      <c r="C22" s="37" t="s">
        <v>193</v>
      </c>
    </row>
    <row r="23" customFormat="false" ht="15" hidden="false" customHeight="false" outlineLevel="0" collapsed="false">
      <c r="A23" s="40" t="s">
        <v>194</v>
      </c>
      <c r="B23" s="38" t="s">
        <v>195</v>
      </c>
      <c r="C23" s="40" t="s">
        <v>196</v>
      </c>
    </row>
    <row r="24" customFormat="false" ht="15" hidden="false" customHeight="false" outlineLevel="0" collapsed="false">
      <c r="A24" s="41" t="s">
        <v>197</v>
      </c>
      <c r="B24" s="42" t="s">
        <v>195</v>
      </c>
      <c r="C24" s="41" t="s">
        <v>198</v>
      </c>
    </row>
    <row r="25" customFormat="false" ht="15" hidden="false" customHeight="false" outlineLevel="0" collapsed="false">
      <c r="A25" s="40" t="s">
        <v>199</v>
      </c>
      <c r="B25" s="38" t="s">
        <v>200</v>
      </c>
      <c r="C25" s="40" t="s">
        <v>201</v>
      </c>
    </row>
    <row r="26" customFormat="false" ht="15" hidden="false" customHeight="false" outlineLevel="0" collapsed="false">
      <c r="A26" s="41" t="s">
        <v>202</v>
      </c>
      <c r="B26" s="42" t="s">
        <v>203</v>
      </c>
      <c r="C26" s="41" t="s">
        <v>204</v>
      </c>
    </row>
    <row r="27" customFormat="false" ht="15" hidden="false" customHeight="false" outlineLevel="0" collapsed="false">
      <c r="A27" s="40" t="s">
        <v>205</v>
      </c>
      <c r="B27" s="38" t="s">
        <v>206</v>
      </c>
      <c r="C27" s="40" t="s">
        <v>207</v>
      </c>
    </row>
    <row r="29" customFormat="false" ht="15" hidden="false" customHeight="true" outlineLevel="0" collapsed="false">
      <c r="A29" s="7" t="s">
        <v>208</v>
      </c>
      <c r="B29" s="7"/>
      <c r="C29" s="7"/>
    </row>
    <row r="30" customFormat="false" ht="15" hidden="false" customHeight="false" outlineLevel="0" collapsed="false">
      <c r="A30" s="7"/>
      <c r="B30" s="7"/>
      <c r="C30" s="7"/>
    </row>
  </sheetData>
  <mergeCells count="13">
    <mergeCell ref="A1:C1"/>
    <mergeCell ref="A4:C5"/>
    <mergeCell ref="A8:C8"/>
    <mergeCell ref="A9:C9"/>
    <mergeCell ref="A10:C10"/>
    <mergeCell ref="A11:C11"/>
    <mergeCell ref="A14:C14"/>
    <mergeCell ref="A15:C15"/>
    <mergeCell ref="A16:C16"/>
    <mergeCell ref="A17:C17"/>
    <mergeCell ref="A18:C18"/>
    <mergeCell ref="A19:C19"/>
    <mergeCell ref="A29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2026-09-12T22:46:42Z</dcterms:created>
  <dc:creator>openpyxl</dc:creator>
  <dc:description/>
  <dc:language>en-US</dc:language>
  <cp:lastModifiedBy/>
  <dcterms:modified xsi:type="dcterms:W3CDTF">2026-09-12T22:46:42Z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